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<sst xmlns="http://schemas.openxmlformats.org/spreadsheetml/2006/main" count="147" uniqueCount="121">
  <si>
    <t xml:space="preserve">Invoice No</t>
  </si>
  <si>
    <t xml:space="preserve">Vendor Name</t>
  </si>
  <si>
    <t xml:space="preserve">Vendor ID</t>
  </si>
  <si>
    <t xml:space="preserve">Invoice Date</t>
  </si>
  <si>
    <t xml:space="preserve">Due Date</t>
  </si>
  <si>
    <t xml:space="preserve">Description</t>
  </si>
  <si>
    <t xml:space="preserve">Amount (GBP)</t>
  </si>
  <si>
    <t xml:space="preserve">VAT (GBP)</t>
  </si>
  <si>
    <t xml:space="preserve">Total (GBP)</t>
  </si>
  <si>
    <t xml:space="preserve">IBAN</t>
  </si>
  <si>
    <t xml:space="preserve">Sort Code</t>
  </si>
  <si>
    <t xml:space="preserve">Account No</t>
  </si>
  <si>
    <t xml:space="preserve">Payment Status</t>
  </si>
  <si>
    <t xml:space="preserve">Approved By</t>
  </si>
  <si>
    <t xml:space="preserve">INV-2025-0041</t>
  </si>
  <si>
    <t xml:space="preserve">CloudTech Solutions Ltd</t>
  </si>
  <si>
    <t xml:space="preserve">VND-0041</t>
  </si>
  <si>
    <t xml:space="preserve">2025-01-05</t>
  </si>
  <si>
    <t xml:space="preserve">2025-02-04</t>
  </si>
  <si>
    <t xml:space="preserve">Azure infrastructure services Q1</t>
  </si>
  <si>
    <t xml:space="preserve">GB29NWBK60161331926819</t>
  </si>
  <si>
    <t xml:space="preserve">20-45-91</t>
  </si>
  <si>
    <t xml:space="preserve">31926819</t>
  </si>
  <si>
    <t xml:space="preserve">Paid</t>
  </si>
  <si>
    <t xml:space="preserve">Megan Bowen</t>
  </si>
  <si>
    <t xml:space="preserve">INV-2025-0042</t>
  </si>
  <si>
    <t xml:space="preserve">Apex Security Consulting</t>
  </si>
  <si>
    <t xml:space="preserve">VND-0042</t>
  </si>
  <si>
    <t xml:space="preserve">2025-01-08</t>
  </si>
  <si>
    <t xml:space="preserve">2025-02-07</t>
  </si>
  <si>
    <t xml:space="preserve">Penetration testing engagement</t>
  </si>
  <si>
    <t xml:space="preserve">GB82WEST12345698765432</t>
  </si>
  <si>
    <t xml:space="preserve">30-12-45</t>
  </si>
  <si>
    <t xml:space="preserve">98765432</t>
  </si>
  <si>
    <t xml:space="preserve">Patti Fernandez</t>
  </si>
  <si>
    <t xml:space="preserve">INV-2025-0043</t>
  </si>
  <si>
    <t xml:space="preserve">DataSafe HR Systems</t>
  </si>
  <si>
    <t xml:space="preserve">VND-0043</t>
  </si>
  <si>
    <t xml:space="preserve">2025-01-12</t>
  </si>
  <si>
    <t xml:space="preserve">2025-02-11</t>
  </si>
  <si>
    <t xml:space="preserve">HRIS annual licence</t>
  </si>
  <si>
    <t xml:space="preserve">GB33BUKB20201555555555</t>
  </si>
  <si>
    <t xml:space="preserve">40-27-83</t>
  </si>
  <si>
    <t xml:space="preserve">55555555</t>
  </si>
  <si>
    <t xml:space="preserve">Lee Gu</t>
  </si>
  <si>
    <t xml:space="preserve">INV-2025-0044</t>
  </si>
  <si>
    <t xml:space="preserve">Meridian Facilities Mgmt</t>
  </si>
  <si>
    <t xml:space="preserve">VND-0044</t>
  </si>
  <si>
    <t xml:space="preserve">2025-01-15</t>
  </si>
  <si>
    <t xml:space="preserve">2025-02-14</t>
  </si>
  <si>
    <t xml:space="preserve">Office cleaning services January</t>
  </si>
  <si>
    <t xml:space="preserve">GB76LOYD30949301273801</t>
  </si>
  <si>
    <t xml:space="preserve">50-34-67</t>
  </si>
  <si>
    <t xml:space="preserve">01273801</t>
  </si>
  <si>
    <t xml:space="preserve">MOD Administrator</t>
  </si>
  <si>
    <t xml:space="preserve">INV-2025-0045</t>
  </si>
  <si>
    <t xml:space="preserve">TalentBridge Recruitment</t>
  </si>
  <si>
    <t xml:space="preserve">VND-0045</t>
  </si>
  <si>
    <t xml:space="preserve">2025-01-18</t>
  </si>
  <si>
    <t xml:space="preserve">2025-02-17</t>
  </si>
  <si>
    <t xml:space="preserve">Recruitment fees — 2 hires</t>
  </si>
  <si>
    <t xml:space="preserve">GB91BARC20714583608275</t>
  </si>
  <si>
    <t xml:space="preserve">83608275</t>
  </si>
  <si>
    <t xml:space="preserve">INV-2025-0046</t>
  </si>
  <si>
    <t xml:space="preserve">Nexus Legal Partners LLP</t>
  </si>
  <si>
    <t xml:space="preserve">VND-0046</t>
  </si>
  <si>
    <t xml:space="preserve">2025-01-22</t>
  </si>
  <si>
    <t xml:space="preserve">2025-02-21</t>
  </si>
  <si>
    <t xml:space="preserve">Employment law advisory retainer</t>
  </si>
  <si>
    <t xml:space="preserve">GB58NWBK60161331926755</t>
  </si>
  <si>
    <t xml:space="preserve">31926755</t>
  </si>
  <si>
    <t xml:space="preserve">Pending</t>
  </si>
  <si>
    <t xml:space="preserve">INV-2025-0047</t>
  </si>
  <si>
    <t xml:space="preserve">AI Foundry Services Ltd</t>
  </si>
  <si>
    <t xml:space="preserve">VND-0047</t>
  </si>
  <si>
    <t xml:space="preserve">2025-01-25</t>
  </si>
  <si>
    <t xml:space="preserve">2025-02-24</t>
  </si>
  <si>
    <t xml:space="preserve">Azure AI Foundry compute credits</t>
  </si>
  <si>
    <t xml:space="preserve">GB24HBUK40127612345678</t>
  </si>
  <si>
    <t xml:space="preserve">12345678</t>
  </si>
  <si>
    <t xml:space="preserve">INV-2025-0048</t>
  </si>
  <si>
    <t xml:space="preserve">PrintWorks Corporate</t>
  </si>
  <si>
    <t xml:space="preserve">VND-0048</t>
  </si>
  <si>
    <t xml:space="preserve">2025-01-28</t>
  </si>
  <si>
    <t xml:space="preserve">2025-02-27</t>
  </si>
  <si>
    <t xml:space="preserve">Marketing collateral printing</t>
  </si>
  <si>
    <t xml:space="preserve">GB72MIDL40051512345678</t>
  </si>
  <si>
    <t xml:space="preserve">12345679</t>
  </si>
  <si>
    <t xml:space="preserve">INV-2025-0049</t>
  </si>
  <si>
    <t xml:space="preserve">Global Payroll Solutions</t>
  </si>
  <si>
    <t xml:space="preserve">VND-0049</t>
  </si>
  <si>
    <t xml:space="preserve">2025-02-01</t>
  </si>
  <si>
    <t xml:space="preserve">2025-03-03</t>
  </si>
  <si>
    <t xml:space="preserve">Payroll processing services Q1</t>
  </si>
  <si>
    <t xml:space="preserve">GB15NWBK60161331987654</t>
  </si>
  <si>
    <t xml:space="preserve">31987654</t>
  </si>
  <si>
    <t xml:space="preserve">INV-2025-0050</t>
  </si>
  <si>
    <t xml:space="preserve">CyberShield Insurance</t>
  </si>
  <si>
    <t xml:space="preserve">VND-0050</t>
  </si>
  <si>
    <t xml:space="preserve">2025-02-05</t>
  </si>
  <si>
    <t xml:space="preserve">2025-03-07</t>
  </si>
  <si>
    <t xml:space="preserve">Cyber liability insurance premium</t>
  </si>
  <si>
    <t xml:space="preserve">GB44LOYD30949301888801</t>
  </si>
  <si>
    <t xml:space="preserve">01888801</t>
  </si>
  <si>
    <t xml:space="preserve">INV-2025-0051</t>
  </si>
  <si>
    <t xml:space="preserve">Bloom L&amp;D Consultants</t>
  </si>
  <si>
    <t xml:space="preserve">VND-0051</t>
  </si>
  <si>
    <t xml:space="preserve">2025-02-08</t>
  </si>
  <si>
    <t xml:space="preserve">2025-03-10</t>
  </si>
  <si>
    <t xml:space="preserve">Management training programme</t>
  </si>
  <si>
    <t xml:space="preserve">GB91BARC20714583900275</t>
  </si>
  <si>
    <t xml:space="preserve">83900275</t>
  </si>
  <si>
    <t xml:space="preserve">INV-2025-0052</t>
  </si>
  <si>
    <t xml:space="preserve">Office Depot UK</t>
  </si>
  <si>
    <t xml:space="preserve">VND-0052</t>
  </si>
  <si>
    <t xml:space="preserve">2025-02-12</t>
  </si>
  <si>
    <t xml:space="preserve">2025-03-14</t>
  </si>
  <si>
    <t xml:space="preserve">Office supplies — bulk order</t>
  </si>
  <si>
    <t xml:space="preserve">GB33BUKB20201566666666</t>
  </si>
  <si>
    <t xml:space="preserve">66666666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</si>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</sst>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n">
        <v>12500</v>
      </c>
      <c r="H2" s="2" t="n">
        <v>2500</v>
      </c>
      <c r="I2" s="2" t="n">
        <v>15000</v>
      </c>
      <c r="J2" s="3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customFormat="false" ht="1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n">
        <v>8750</v>
      </c>
      <c r="H3" s="4" t="n">
        <v>1750</v>
      </c>
      <c r="I3" s="4" t="n">
        <v>10500</v>
      </c>
      <c r="J3" s="5" t="s">
        <v>31</v>
      </c>
      <c r="K3" s="4" t="s">
        <v>32</v>
      </c>
      <c r="L3" s="4" t="s">
        <v>33</v>
      </c>
      <c r="M3" s="4" t="s">
        <v>23</v>
      </c>
      <c r="N3" s="4" t="s">
        <v>34</v>
      </c>
    </row>
    <row r="4" customFormat="false" ht="1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n">
        <v>4200</v>
      </c>
      <c r="H4" s="2" t="n">
        <v>840</v>
      </c>
      <c r="I4" s="2" t="n">
        <v>5040</v>
      </c>
      <c r="J4" s="3" t="s">
        <v>41</v>
      </c>
      <c r="K4" s="2" t="s">
        <v>42</v>
      </c>
      <c r="L4" s="2" t="s">
        <v>43</v>
      </c>
      <c r="M4" s="2" t="s">
        <v>23</v>
      </c>
      <c r="N4" s="2" t="s">
        <v>44</v>
      </c>
    </row>
    <row r="5" customFormat="false" ht="15" hidden="false" customHeight="fals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n">
        <v>1800</v>
      </c>
      <c r="H5" s="4" t="n">
        <v>360</v>
      </c>
      <c r="I5" s="4" t="n">
        <v>2160</v>
      </c>
      <c r="J5" s="5" t="s">
        <v>51</v>
      </c>
      <c r="K5" s="4" t="s">
        <v>52</v>
      </c>
      <c r="L5" s="4" t="s">
        <v>53</v>
      </c>
      <c r="M5" s="4" t="s">
        <v>23</v>
      </c>
      <c r="N5" s="4" t="s">
        <v>54</v>
      </c>
    </row>
    <row r="6" customFormat="false" ht="15" hidden="false" customHeight="false" outlineLevel="0" collapsed="false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n">
        <v>11200</v>
      </c>
      <c r="H6" s="2" t="n">
        <v>2240</v>
      </c>
      <c r="I6" s="2" t="n">
        <v>13440</v>
      </c>
      <c r="J6" s="3" t="s">
        <v>61</v>
      </c>
      <c r="K6" s="2" t="s">
        <v>21</v>
      </c>
      <c r="L6" s="2" t="s">
        <v>62</v>
      </c>
      <c r="M6" s="2" t="s">
        <v>23</v>
      </c>
      <c r="N6" s="2" t="s">
        <v>44</v>
      </c>
    </row>
    <row r="7" customFormat="false" ht="15" hidden="false" customHeight="false" outlineLevel="0" collapsed="false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n">
        <v>3500</v>
      </c>
      <c r="H7" s="4" t="n">
        <v>700</v>
      </c>
      <c r="I7" s="4" t="n">
        <v>4200</v>
      </c>
      <c r="J7" s="5" t="s">
        <v>69</v>
      </c>
      <c r="K7" s="4" t="s">
        <v>32</v>
      </c>
      <c r="L7" s="4" t="s">
        <v>70</v>
      </c>
      <c r="M7" s="4" t="s">
        <v>71</v>
      </c>
      <c r="N7" s="4" t="s">
        <v>24</v>
      </c>
    </row>
    <row r="8" customFormat="false" ht="15" hidden="false" customHeight="false" outlineLevel="0" collapsed="false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n">
        <v>6800</v>
      </c>
      <c r="H8" s="2" t="n">
        <v>1360</v>
      </c>
      <c r="I8" s="2" t="n">
        <v>8160</v>
      </c>
      <c r="J8" s="3" t="s">
        <v>78</v>
      </c>
      <c r="K8" s="2" t="s">
        <v>42</v>
      </c>
      <c r="L8" s="2" t="s">
        <v>79</v>
      </c>
      <c r="M8" s="2" t="s">
        <v>71</v>
      </c>
      <c r="N8" s="2" t="s">
        <v>34</v>
      </c>
    </row>
    <row r="9" customFormat="false" ht="15" hidden="false" customHeight="false" outlineLevel="0" collapsed="false">
      <c r="A9" s="4" t="s">
        <v>80</v>
      </c>
      <c r="B9" s="4" t="s">
        <v>81</v>
      </c>
      <c r="C9" s="4" t="s">
        <v>82</v>
      </c>
      <c r="D9" s="4" t="s">
        <v>83</v>
      </c>
      <c r="E9" s="4" t="s">
        <v>84</v>
      </c>
      <c r="F9" s="4" t="s">
        <v>85</v>
      </c>
      <c r="G9" s="4" t="n">
        <v>950</v>
      </c>
      <c r="H9" s="4" t="n">
        <v>190</v>
      </c>
      <c r="I9" s="4" t="n">
        <v>1140</v>
      </c>
      <c r="J9" s="5" t="s">
        <v>86</v>
      </c>
      <c r="K9" s="4" t="s">
        <v>52</v>
      </c>
      <c r="L9" s="4" t="s">
        <v>87</v>
      </c>
      <c r="M9" s="4" t="s">
        <v>23</v>
      </c>
      <c r="N9" s="4" t="s">
        <v>54</v>
      </c>
    </row>
    <row r="10" customFormat="false" ht="15" hidden="false" customHeight="false" outlineLevel="0" collapsed="false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n">
        <v>5500</v>
      </c>
      <c r="H10" s="2" t="n">
        <v>1100</v>
      </c>
      <c r="I10" s="2" t="n">
        <v>6600</v>
      </c>
      <c r="J10" s="3" t="s">
        <v>94</v>
      </c>
      <c r="K10" s="2" t="s">
        <v>21</v>
      </c>
      <c r="L10" s="2" t="s">
        <v>95</v>
      </c>
      <c r="M10" s="2" t="s">
        <v>23</v>
      </c>
      <c r="N10" s="2" t="s">
        <v>24</v>
      </c>
    </row>
    <row r="11" customFormat="false" ht="15" hidden="false" customHeight="false" outlineLevel="0" collapsed="false">
      <c r="A11" s="4" t="s">
        <v>96</v>
      </c>
      <c r="B11" s="4" t="s">
        <v>97</v>
      </c>
      <c r="C11" s="4" t="s">
        <v>98</v>
      </c>
      <c r="D11" s="4" t="s">
        <v>99</v>
      </c>
      <c r="E11" s="4" t="s">
        <v>100</v>
      </c>
      <c r="F11" s="4" t="s">
        <v>101</v>
      </c>
      <c r="G11" s="4" t="n">
        <v>18500</v>
      </c>
      <c r="H11" s="4" t="n">
        <v>0</v>
      </c>
      <c r="I11" s="4" t="n">
        <v>18500</v>
      </c>
      <c r="J11" s="5" t="s">
        <v>102</v>
      </c>
      <c r="K11" s="4" t="s">
        <v>32</v>
      </c>
      <c r="L11" s="4" t="s">
        <v>103</v>
      </c>
      <c r="M11" s="4" t="s">
        <v>23</v>
      </c>
      <c r="N11" s="4" t="s">
        <v>54</v>
      </c>
    </row>
    <row r="12" customFormat="false" ht="15" hidden="false" customHeight="false" outlineLevel="0" collapsed="false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n">
        <v>7200</v>
      </c>
      <c r="H12" s="2" t="n">
        <v>1440</v>
      </c>
      <c r="I12" s="2" t="n">
        <v>8640</v>
      </c>
      <c r="J12" s="3" t="s">
        <v>110</v>
      </c>
      <c r="K12" s="2" t="s">
        <v>42</v>
      </c>
      <c r="L12" s="2" t="s">
        <v>111</v>
      </c>
      <c r="M12" s="2" t="s">
        <v>71</v>
      </c>
      <c r="N12" s="2" t="s">
        <v>44</v>
      </c>
    </row>
    <row r="13" customFormat="false" ht="15" hidden="false" customHeight="false" outlineLevel="0" collapsed="false">
      <c r="A13" s="4" t="s">
        <v>112</v>
      </c>
      <c r="B13" s="4" t="s">
        <v>113</v>
      </c>
      <c r="C13" s="4" t="s">
        <v>114</v>
      </c>
      <c r="D13" s="4" t="s">
        <v>115</v>
      </c>
      <c r="E13" s="4" t="s">
        <v>116</v>
      </c>
      <c r="F13" s="4" t="s">
        <v>117</v>
      </c>
      <c r="G13" s="4" t="n">
        <v>1250</v>
      </c>
      <c r="H13" s="4" t="n">
        <v>250</v>
      </c>
      <c r="I13" s="4" t="n">
        <v>1500</v>
      </c>
      <c r="J13" s="5" t="s">
        <v>118</v>
      </c>
      <c r="K13" s="4" t="s">
        <v>52</v>
      </c>
      <c r="L13" s="4" t="s">
        <v>119</v>
      </c>
      <c r="M13" s="4" t="s">
        <v>23</v>
      </c>
      <c r="N13" s="4" t="s">
        <v>54</v>
      </c>
    </row>
    <row r="14" customFormat="false" ht="15" hidden="false" customHeight="false" outlineLevel="0" collapsed="false">
      <c r="A14" s="6" t="s">
        <v>120</v>
      </c>
      <c r="B14" s="6"/>
      <c r="C14" s="6"/>
      <c r="D14" s="6"/>
      <c r="E14" s="6"/>
      <c r="F14" s="6"/>
      <c r="G14" s="6" t="n">
        <f aca="false">SUM(G2:G13)</f>
        <v>82150</v>
      </c>
      <c r="H14" s="6" t="n">
        <f aca="false">SUM(H2:H13)</f>
        <v>12730</v>
      </c>
      <c r="I14" s="6" t="n">
        <f aca="false">SUM(I2:I13)</f>
        <v>94880</v>
      </c>
      <c r="J14" s="6"/>
      <c r="K14" s="6"/>
      <c r="L14" s="6"/>
      <c r="M14" s="6"/>
      <c r="N1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2026-03-05T09:54:22Z</dcterms:created>
  <dc:creator>openpyxl</dc:creator>
  <dc:description/>
  <dc:language>en-US</dc:language>
  <cp:lastModifiedBy/>
  <dcterms:modified xsi:type="dcterms:W3CDTF">2026-03-05T09:54:22Z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
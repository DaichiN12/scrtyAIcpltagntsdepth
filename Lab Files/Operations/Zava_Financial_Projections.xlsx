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Proje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<sst xmlns="http://schemas.openxmlformats.org/spreadsheetml/2006/main" count="41" uniqueCount="34">
  <si>
    <t xml:space="preserve">ZAVA CORPORATION — 3-YEAR FINANCIAL PROJECTIONS (CONFIDENTIAL)</t>
  </si>
  <si>
    <t xml:space="preserve">Metric</t>
  </si>
  <si>
    <t xml:space="preserve">FY2024 Actual</t>
  </si>
  <si>
    <t xml:space="preserve">FY2025 Forecast</t>
  </si>
  <si>
    <t xml:space="preserve">FY2026 Projection</t>
  </si>
  <si>
    <t xml:space="preserve">FY2027 Projection</t>
  </si>
  <si>
    <t xml:space="preserve">Growth Rate (%)</t>
  </si>
  <si>
    <t xml:space="preserve">Notes</t>
  </si>
  <si>
    <t xml:space="preserve">Sensitivity</t>
  </si>
  <si>
    <t xml:space="preserve">Revenue (GBP)</t>
  </si>
  <si>
    <t xml:space="preserve">  HR Consulting</t>
  </si>
  <si>
    <t xml:space="preserve">10% YoY growth assumed</t>
  </si>
  <si>
    <t xml:space="preserve">Medium</t>
  </si>
  <si>
    <t xml:space="preserve">  Finance Advisory</t>
  </si>
  <si>
    <t xml:space="preserve">  AI &amp; Digital Services</t>
  </si>
  <si>
    <t xml:space="preserve">50% YoY growth — new service line</t>
  </si>
  <si>
    <t xml:space="preserve">High</t>
  </si>
  <si>
    <t xml:space="preserve">  Training &amp; Certification</t>
  </si>
  <si>
    <t xml:space="preserve">Low</t>
  </si>
  <si>
    <t xml:space="preserve">Total Revenue</t>
  </si>
  <si>
    <t xml:space="preserve">Operating Costs (GBP)</t>
  </si>
  <si>
    <t xml:space="preserve">  Staff Costs</t>
  </si>
  <si>
    <t xml:space="preserve">8% YoY increase</t>
  </si>
  <si>
    <t xml:space="preserve">  Technology</t>
  </si>
  <si>
    <t xml:space="preserve">20% YoY — AI investment</t>
  </si>
  <si>
    <t xml:space="preserve">  Premises &amp; Facilities</t>
  </si>
  <si>
    <t xml:space="preserve">5% YoY inflation</t>
  </si>
  <si>
    <t xml:space="preserve">  Sales &amp; Marketing</t>
  </si>
  <si>
    <t xml:space="preserve">20% YoY growth investment</t>
  </si>
  <si>
    <t xml:space="preserve">Total Operating Costs</t>
  </si>
  <si>
    <t xml:space="preserve">EBITDA</t>
  </si>
  <si>
    <t xml:space="preserve">EBITDA Margin (%)</t>
  </si>
  <si>
    <t xml:space="preserve">Net Profit</t>
  </si>
  <si>
    <t xml:space="preserve">Net Profit Margin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</si>
</sst>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3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10</v>
      </c>
      <c r="B4" s="4" t="n">
        <v>4200000</v>
      </c>
      <c r="C4" s="4" t="n">
        <f aca="false">B4*1.1</f>
        <v>4620000</v>
      </c>
      <c r="D4" s="4" t="n">
        <f aca="false">C4*1.1</f>
        <v>5082000</v>
      </c>
      <c r="E4" s="4" t="n">
        <f aca="false">D4*1.1</f>
        <v>5590200</v>
      </c>
      <c r="F4" s="4"/>
      <c r="G4" s="4" t="s">
        <v>11</v>
      </c>
      <c r="H4" s="4" t="s">
        <v>12</v>
      </c>
    </row>
    <row r="5" customFormat="false" ht="15" hidden="false" customHeight="false" outlineLevel="0" collapsed="false">
      <c r="A5" s="3" t="s">
        <v>13</v>
      </c>
      <c r="B5" s="3" t="n">
        <v>2800000</v>
      </c>
      <c r="C5" s="3" t="n">
        <f aca="false">B5*1.1</f>
        <v>3080000</v>
      </c>
      <c r="D5" s="3" t="n">
        <f aca="false">C5*1.1</f>
        <v>3388000</v>
      </c>
      <c r="E5" s="3" t="n">
        <f aca="false">D5*1.1</f>
        <v>3726800</v>
      </c>
      <c r="F5" s="3"/>
      <c r="G5" s="3" t="s">
        <v>11</v>
      </c>
      <c r="H5" s="3" t="s">
        <v>12</v>
      </c>
    </row>
    <row r="6" customFormat="false" ht="15" hidden="false" customHeight="false" outlineLevel="0" collapsed="false">
      <c r="A6" s="4" t="s">
        <v>14</v>
      </c>
      <c r="B6" s="4" t="n">
        <v>850000</v>
      </c>
      <c r="C6" s="4" t="n">
        <f aca="false">B6*1.5</f>
        <v>1275000</v>
      </c>
      <c r="D6" s="4" t="n">
        <f aca="false">C6*1.5</f>
        <v>1912500</v>
      </c>
      <c r="E6" s="4" t="n">
        <f aca="false">D6*1.5</f>
        <v>2868750</v>
      </c>
      <c r="F6" s="4"/>
      <c r="G6" s="4" t="s">
        <v>15</v>
      </c>
      <c r="H6" s="4" t="s">
        <v>16</v>
      </c>
    </row>
    <row r="7" customFormat="false" ht="15" hidden="false" customHeight="false" outlineLevel="0" collapsed="false">
      <c r="A7" s="3" t="s">
        <v>17</v>
      </c>
      <c r="B7" s="3" t="n">
        <v>620000</v>
      </c>
      <c r="C7" s="3" t="n">
        <f aca="false">B7*1.1</f>
        <v>682000</v>
      </c>
      <c r="D7" s="3" t="n">
        <f aca="false">C7*1.1</f>
        <v>750200</v>
      </c>
      <c r="E7" s="3" t="n">
        <f aca="false">D7*1.1</f>
        <v>825220</v>
      </c>
      <c r="F7" s="3"/>
      <c r="G7" s="3" t="s">
        <v>11</v>
      </c>
      <c r="H7" s="3" t="s">
        <v>18</v>
      </c>
    </row>
    <row r="8" customFormat="false" ht="15" hidden="false" customHeight="false" outlineLevel="0" collapsed="false">
      <c r="A8" s="4" t="s">
        <v>19</v>
      </c>
      <c r="B8" s="4" t="n">
        <f aca="false">SUM(B4:B7)</f>
        <v>8470000</v>
      </c>
      <c r="C8" s="4" t="n">
        <f aca="false">SUM(C4:C7)</f>
        <v>9657000</v>
      </c>
      <c r="D8" s="4" t="n">
        <f aca="false">SUM(D4:D7)</f>
        <v>11132700</v>
      </c>
      <c r="E8" s="4" t="n">
        <f aca="false">SUM(E4:E7)</f>
        <v>13010970</v>
      </c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4" t="s">
        <v>20</v>
      </c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3" t="s">
        <v>21</v>
      </c>
      <c r="B11" s="3" t="n">
        <v>5100000</v>
      </c>
      <c r="C11" s="3" t="n">
        <v>5508000</v>
      </c>
      <c r="D11" s="3" t="n">
        <v>5948640</v>
      </c>
      <c r="E11" s="3" t="n">
        <v>6424531</v>
      </c>
      <c r="F11" s="3"/>
      <c r="G11" s="3" t="s">
        <v>22</v>
      </c>
      <c r="H11" s="3" t="s">
        <v>12</v>
      </c>
    </row>
    <row r="12" customFormat="false" ht="15" hidden="false" customHeight="false" outlineLevel="0" collapsed="false">
      <c r="A12" s="4" t="s">
        <v>23</v>
      </c>
      <c r="B12" s="4" t="n">
        <v>890000</v>
      </c>
      <c r="C12" s="4" t="n">
        <v>1068000</v>
      </c>
      <c r="D12" s="4" t="n">
        <v>1281600</v>
      </c>
      <c r="E12" s="4" t="n">
        <v>1537920</v>
      </c>
      <c r="F12" s="4"/>
      <c r="G12" s="4" t="s">
        <v>24</v>
      </c>
      <c r="H12" s="4" t="s">
        <v>16</v>
      </c>
    </row>
    <row r="13" customFormat="false" ht="15" hidden="false" customHeight="false" outlineLevel="0" collapsed="false">
      <c r="A13" s="3" t="s">
        <v>25</v>
      </c>
      <c r="B13" s="3" t="n">
        <v>420000</v>
      </c>
      <c r="C13" s="3" t="n">
        <v>441000</v>
      </c>
      <c r="D13" s="3" t="n">
        <v>463050</v>
      </c>
      <c r="E13" s="3" t="n">
        <v>486203</v>
      </c>
      <c r="F13" s="3"/>
      <c r="G13" s="3" t="s">
        <v>26</v>
      </c>
      <c r="H13" s="3" t="s">
        <v>18</v>
      </c>
    </row>
    <row r="14" customFormat="false" ht="15" hidden="false" customHeight="false" outlineLevel="0" collapsed="false">
      <c r="A14" s="4" t="s">
        <v>27</v>
      </c>
      <c r="B14" s="4" t="n">
        <v>380000</v>
      </c>
      <c r="C14" s="4" t="n">
        <v>456000</v>
      </c>
      <c r="D14" s="4" t="n">
        <v>547200</v>
      </c>
      <c r="E14" s="4" t="n">
        <v>656640</v>
      </c>
      <c r="F14" s="4"/>
      <c r="G14" s="4" t="s">
        <v>28</v>
      </c>
      <c r="H14" s="4" t="s">
        <v>12</v>
      </c>
    </row>
    <row r="15" customFormat="false" ht="15" hidden="false" customHeight="false" outlineLevel="0" collapsed="false">
      <c r="A15" s="3" t="s">
        <v>29</v>
      </c>
      <c r="B15" s="3" t="n">
        <v>6790000</v>
      </c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3" t="s">
        <v>30</v>
      </c>
      <c r="B17" s="3" t="n">
        <v>1680000</v>
      </c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4" t="s">
        <v>31</v>
      </c>
      <c r="B18" s="4"/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3" t="s">
        <v>32</v>
      </c>
      <c r="B19" s="3" t="n">
        <v>1175000</v>
      </c>
      <c r="C19" s="3"/>
      <c r="D19" s="3"/>
      <c r="E19" s="3"/>
      <c r="F19" s="3"/>
      <c r="G19" s="3"/>
      <c r="H19" s="3"/>
    </row>
    <row r="20" customFormat="false" ht="15" hidden="false" customHeight="false" outlineLevel="0" collapsed="false">
      <c r="A20" s="4" t="s">
        <v>33</v>
      </c>
      <c r="B20" s="4"/>
      <c r="C20" s="4"/>
      <c r="D20" s="4"/>
      <c r="E20" s="4"/>
      <c r="F20" s="4"/>
      <c r="G20" s="4"/>
      <c r="H20" s="4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2026-03-05T09:54:22Z</dcterms:created>
  <dc:creator>openpyxl</dc:creator>
  <dc:description/>
  <dc:language>en-US</dc:language>
  <cp:lastModifiedBy/>
  <dcterms:modified xsi:type="dcterms:W3CDTF">2026-03-05T09:54:22Z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
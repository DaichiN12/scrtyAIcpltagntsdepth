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ual Budget 202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<sst xmlns="http://schemas.openxmlformats.org/spreadsheetml/2006/main" count="57" uniqueCount="33">
  <si>
    <t xml:space="preserve">Department</t>
  </si>
  <si>
    <t xml:space="preserve">Cost Centre</t>
  </si>
  <si>
    <t xml:space="preserve">Budget Category</t>
  </si>
  <si>
    <t xml:space="preserve">Q1 Budget (GBP)</t>
  </si>
  <si>
    <t xml:space="preserve">Q2 Budget (GBP)</t>
  </si>
  <si>
    <t xml:space="preserve">Q3 Budget (GBP)</t>
  </si>
  <si>
    <t xml:space="preserve">Q4 Budget (GBP)</t>
  </si>
  <si>
    <t xml:space="preserve">Annual Total</t>
  </si>
  <si>
    <t xml:space="preserve">Prior Year Actual</t>
  </si>
  <si>
    <t xml:space="preserve">Variance (%)</t>
  </si>
  <si>
    <t xml:space="preserve">Finance</t>
  </si>
  <si>
    <t xml:space="preserve">CC-FIN-001</t>
  </si>
  <si>
    <t xml:space="preserve">Headcount</t>
  </si>
  <si>
    <t xml:space="preserve">Technology &amp; Systems</t>
  </si>
  <si>
    <t xml:space="preserve">Training &amp; Development</t>
  </si>
  <si>
    <t xml:space="preserve">Travel &amp; Expenses</t>
  </si>
  <si>
    <t xml:space="preserve">Consultancy</t>
  </si>
  <si>
    <t xml:space="preserve">HR</t>
  </si>
  <si>
    <t xml:space="preserve">CC-HR-002</t>
  </si>
  <si>
    <t xml:space="preserve">Recruitment</t>
  </si>
  <si>
    <t xml:space="preserve">L&amp;D Programmes</t>
  </si>
  <si>
    <t xml:space="preserve">Employee Benefits Admin</t>
  </si>
  <si>
    <t xml:space="preserve">IT Security</t>
  </si>
  <si>
    <t xml:space="preserve">CC-ITS-003</t>
  </si>
  <si>
    <t xml:space="preserve">Security Tooling</t>
  </si>
  <si>
    <t xml:space="preserve">AI Security Programme</t>
  </si>
  <si>
    <t xml:space="preserve">N/A</t>
  </si>
  <si>
    <t xml:space="preserve">Incident Response</t>
  </si>
  <si>
    <t xml:space="preserve">Operations</t>
  </si>
  <si>
    <t xml:space="preserve">CC-OPS-004</t>
  </si>
  <si>
    <t xml:space="preserve">Facilities</t>
  </si>
  <si>
    <t xml:space="preserve">IT Infrastructure</t>
  </si>
  <si>
    <t xml:space="preserve">GRAND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</si>
</sst>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  <col collapsed="false" customWidth="true" hidden="false" outlineLevel="0" max="7" min="4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n">
        <v>210000</v>
      </c>
      <c r="E2" s="2" t="n">
        <v>210000</v>
      </c>
      <c r="F2" s="2" t="n">
        <v>215000</v>
      </c>
      <c r="G2" s="2" t="n">
        <v>215000</v>
      </c>
      <c r="H2" s="2" t="n">
        <f aca="false">SUM(D2:G2)</f>
        <v>850000</v>
      </c>
      <c r="I2" s="2" t="n">
        <v>648000</v>
      </c>
      <c r="J2" s="3" t="n">
        <f aca="false">(H2-I2)/I2</f>
        <v>0.311728395061728</v>
      </c>
    </row>
    <row r="3" customFormat="false" ht="15" hidden="false" customHeight="false" outlineLevel="0" collapsed="false">
      <c r="A3" s="4" t="s">
        <v>10</v>
      </c>
      <c r="B3" s="4" t="s">
        <v>11</v>
      </c>
      <c r="C3" s="4" t="s">
        <v>13</v>
      </c>
      <c r="D3" s="4" t="n">
        <v>45000</v>
      </c>
      <c r="E3" s="4" t="n">
        <v>45000</v>
      </c>
      <c r="F3" s="4" t="n">
        <v>50000</v>
      </c>
      <c r="G3" s="4" t="n">
        <v>50000</v>
      </c>
      <c r="H3" s="4" t="n">
        <f aca="false">SUM(D3:G3)</f>
        <v>190000</v>
      </c>
      <c r="I3" s="4" t="n">
        <v>178000</v>
      </c>
      <c r="J3" s="5" t="n">
        <f aca="false">(H3-I3)/I3</f>
        <v>0.0674157303370787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14</v>
      </c>
      <c r="D4" s="2" t="n">
        <v>8000</v>
      </c>
      <c r="E4" s="2" t="n">
        <v>8000</v>
      </c>
      <c r="F4" s="2" t="n">
        <v>8000</v>
      </c>
      <c r="G4" s="2" t="n">
        <v>10000</v>
      </c>
      <c r="H4" s="2" t="n">
        <f aca="false">SUM(D4:G4)</f>
        <v>34000</v>
      </c>
      <c r="I4" s="2" t="n">
        <v>30000</v>
      </c>
      <c r="J4" s="3" t="n">
        <f aca="false">(H4-I4)/I4</f>
        <v>0.133333333333333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15</v>
      </c>
      <c r="D5" s="4" t="n">
        <v>12000</v>
      </c>
      <c r="E5" s="4" t="n">
        <v>14000</v>
      </c>
      <c r="F5" s="4" t="n">
        <v>12000</v>
      </c>
      <c r="G5" s="4" t="n">
        <v>15000</v>
      </c>
      <c r="H5" s="4" t="n">
        <f aca="false">SUM(D5:G5)</f>
        <v>53000</v>
      </c>
      <c r="I5" s="4" t="n">
        <v>48000</v>
      </c>
      <c r="J5" s="5" t="n">
        <f aca="false">(H5-I5)/I5</f>
        <v>0.104166666666667</v>
      </c>
    </row>
    <row r="6" customFormat="false" ht="15" hidden="false" customHeight="false" outlineLevel="0" collapsed="false">
      <c r="A6" s="2" t="s">
        <v>10</v>
      </c>
      <c r="B6" s="2" t="s">
        <v>11</v>
      </c>
      <c r="C6" s="2" t="s">
        <v>16</v>
      </c>
      <c r="D6" s="2" t="n">
        <v>25000</v>
      </c>
      <c r="E6" s="2" t="n">
        <v>0</v>
      </c>
      <c r="F6" s="2" t="n">
        <v>30000</v>
      </c>
      <c r="G6" s="2" t="n">
        <v>0</v>
      </c>
      <c r="H6" s="2" t="n">
        <f aca="false">SUM(D6:G6)</f>
        <v>55000</v>
      </c>
      <c r="I6" s="2" t="n">
        <v>44000</v>
      </c>
      <c r="J6" s="3" t="n">
        <f aca="false">(H6-I6)/I6</f>
        <v>0.25</v>
      </c>
    </row>
    <row r="7" customFormat="false" ht="15" hidden="false" customHeight="false" outlineLevel="0" collapsed="false">
      <c r="A7" s="4" t="s">
        <v>17</v>
      </c>
      <c r="B7" s="4" t="s">
        <v>18</v>
      </c>
      <c r="C7" s="4" t="s">
        <v>12</v>
      </c>
      <c r="D7" s="4" t="n">
        <v>180000</v>
      </c>
      <c r="E7" s="4" t="n">
        <v>180000</v>
      </c>
      <c r="F7" s="4" t="n">
        <v>185000</v>
      </c>
      <c r="G7" s="4" t="n">
        <v>185000</v>
      </c>
      <c r="H7" s="4" t="n">
        <f aca="false">SUM(D7:G7)</f>
        <v>730000</v>
      </c>
      <c r="I7" s="4" t="n">
        <v>680000</v>
      </c>
      <c r="J7" s="5" t="n">
        <f aca="false">(H7-I7)/I7</f>
        <v>0.0735294117647059</v>
      </c>
    </row>
    <row r="8" customFormat="false" ht="15" hidden="false" customHeight="false" outlineLevel="0" collapsed="false">
      <c r="A8" s="2" t="s">
        <v>17</v>
      </c>
      <c r="B8" s="2" t="s">
        <v>18</v>
      </c>
      <c r="C8" s="2" t="s">
        <v>19</v>
      </c>
      <c r="D8" s="2" t="n">
        <v>35000</v>
      </c>
      <c r="E8" s="2" t="n">
        <v>40000</v>
      </c>
      <c r="F8" s="2" t="n">
        <v>25000</v>
      </c>
      <c r="G8" s="2" t="n">
        <v>30000</v>
      </c>
      <c r="H8" s="2" t="n">
        <f aca="false">SUM(D8:G8)</f>
        <v>130000</v>
      </c>
      <c r="I8" s="2" t="n">
        <v>118000</v>
      </c>
      <c r="J8" s="3" t="n">
        <f aca="false">(H8-I8)/I8</f>
        <v>0.101694915254237</v>
      </c>
    </row>
    <row r="9" customFormat="false" ht="15" hidden="false" customHeight="false" outlineLevel="0" collapsed="false">
      <c r="A9" s="4" t="s">
        <v>17</v>
      </c>
      <c r="B9" s="4" t="s">
        <v>18</v>
      </c>
      <c r="C9" s="4" t="s">
        <v>20</v>
      </c>
      <c r="D9" s="4" t="n">
        <v>22000</v>
      </c>
      <c r="E9" s="4" t="n">
        <v>18000</v>
      </c>
      <c r="F9" s="4" t="n">
        <v>22000</v>
      </c>
      <c r="G9" s="4" t="n">
        <v>25000</v>
      </c>
      <c r="H9" s="4" t="n">
        <f aca="false">SUM(D9:G9)</f>
        <v>87000</v>
      </c>
      <c r="I9" s="4" t="n">
        <v>80000</v>
      </c>
      <c r="J9" s="5" t="n">
        <f aca="false">(H9-I9)/I9</f>
        <v>0.0875</v>
      </c>
    </row>
    <row r="10" customFormat="false" ht="15" hidden="false" customHeight="false" outlineLevel="0" collapsed="false">
      <c r="A10" s="2" t="s">
        <v>17</v>
      </c>
      <c r="B10" s="2" t="s">
        <v>18</v>
      </c>
      <c r="C10" s="2" t="s">
        <v>21</v>
      </c>
      <c r="D10" s="2" t="n">
        <v>15000</v>
      </c>
      <c r="E10" s="2" t="n">
        <v>15000</v>
      </c>
      <c r="F10" s="2" t="n">
        <v>15000</v>
      </c>
      <c r="G10" s="2" t="n">
        <v>15000</v>
      </c>
      <c r="H10" s="2" t="n">
        <f aca="false">SUM(D10:G10)</f>
        <v>60000</v>
      </c>
      <c r="I10" s="2" t="n">
        <v>58000</v>
      </c>
      <c r="J10" s="3" t="n">
        <f aca="false">(H10-I10)/I10</f>
        <v>0.0344827586206897</v>
      </c>
    </row>
    <row r="11" customFormat="false" ht="15" hidden="false" customHeight="false" outlineLevel="0" collapsed="false">
      <c r="A11" s="4" t="s">
        <v>22</v>
      </c>
      <c r="B11" s="4" t="s">
        <v>23</v>
      </c>
      <c r="C11" s="4" t="s">
        <v>12</v>
      </c>
      <c r="D11" s="4" t="n">
        <v>240000</v>
      </c>
      <c r="E11" s="4" t="n">
        <v>240000</v>
      </c>
      <c r="F11" s="4" t="n">
        <v>245000</v>
      </c>
      <c r="G11" s="4" t="n">
        <v>250000</v>
      </c>
      <c r="H11" s="4" t="n">
        <f aca="false">SUM(D11:G11)</f>
        <v>975000</v>
      </c>
      <c r="I11" s="4" t="n">
        <v>940000</v>
      </c>
      <c r="J11" s="5" t="n">
        <f aca="false">(H11-I11)/I11</f>
        <v>0.0372340425531915</v>
      </c>
    </row>
    <row r="12" customFormat="false" ht="15" hidden="false" customHeight="false" outlineLevel="0" collapsed="false">
      <c r="A12" s="2" t="s">
        <v>22</v>
      </c>
      <c r="B12" s="2" t="s">
        <v>23</v>
      </c>
      <c r="C12" s="2" t="s">
        <v>24</v>
      </c>
      <c r="D12" s="2" t="n">
        <v>60000</v>
      </c>
      <c r="E12" s="2" t="n">
        <v>60000</v>
      </c>
      <c r="F12" s="2" t="n">
        <v>65000</v>
      </c>
      <c r="G12" s="2" t="n">
        <v>70000</v>
      </c>
      <c r="H12" s="2" t="n">
        <f aca="false">SUM(D12:G12)</f>
        <v>255000</v>
      </c>
      <c r="I12" s="2" t="n">
        <v>230000</v>
      </c>
      <c r="J12" s="3" t="n">
        <f aca="false">(H12-I12)/I12</f>
        <v>0.108695652173913</v>
      </c>
    </row>
    <row r="13" customFormat="false" ht="15" hidden="false" customHeight="false" outlineLevel="0" collapsed="false">
      <c r="A13" s="4" t="s">
        <v>22</v>
      </c>
      <c r="B13" s="4" t="s">
        <v>23</v>
      </c>
      <c r="C13" s="4" t="s">
        <v>25</v>
      </c>
      <c r="D13" s="4" t="n">
        <v>0</v>
      </c>
      <c r="E13" s="4" t="n">
        <v>50000</v>
      </c>
      <c r="F13" s="4" t="n">
        <v>50000</v>
      </c>
      <c r="G13" s="4" t="n">
        <v>50000</v>
      </c>
      <c r="H13" s="4" t="n">
        <f aca="false">SUM(D13:G13)</f>
        <v>150000</v>
      </c>
      <c r="I13" s="4" t="n">
        <v>0</v>
      </c>
      <c r="J13" s="4" t="s">
        <v>26</v>
      </c>
    </row>
    <row r="14" customFormat="false" ht="15" hidden="false" customHeight="false" outlineLevel="0" collapsed="false">
      <c r="A14" s="2" t="s">
        <v>22</v>
      </c>
      <c r="B14" s="2" t="s">
        <v>23</v>
      </c>
      <c r="C14" s="2" t="s">
        <v>27</v>
      </c>
      <c r="D14" s="2" t="n">
        <v>10000</v>
      </c>
      <c r="E14" s="2" t="n">
        <v>10000</v>
      </c>
      <c r="F14" s="2" t="n">
        <v>10000</v>
      </c>
      <c r="G14" s="2" t="n">
        <v>10000</v>
      </c>
      <c r="H14" s="2" t="n">
        <f aca="false">SUM(D14:G14)</f>
        <v>40000</v>
      </c>
      <c r="I14" s="2" t="n">
        <v>38000</v>
      </c>
      <c r="J14" s="3" t="n">
        <f aca="false">(H14-I14)/I14</f>
        <v>0.0526315789473684</v>
      </c>
    </row>
    <row r="15" customFormat="false" ht="15" hidden="false" customHeight="false" outlineLevel="0" collapsed="false">
      <c r="A15" s="4" t="s">
        <v>28</v>
      </c>
      <c r="B15" s="4" t="s">
        <v>29</v>
      </c>
      <c r="C15" s="4" t="s">
        <v>30</v>
      </c>
      <c r="D15" s="4" t="n">
        <v>80000</v>
      </c>
      <c r="E15" s="4" t="n">
        <v>80000</v>
      </c>
      <c r="F15" s="4" t="n">
        <v>80000</v>
      </c>
      <c r="G15" s="4" t="n">
        <v>85000</v>
      </c>
      <c r="H15" s="4" t="n">
        <f aca="false">SUM(D15:G15)</f>
        <v>325000</v>
      </c>
      <c r="I15" s="4" t="n">
        <v>320000</v>
      </c>
      <c r="J15" s="5" t="n">
        <f aca="false">(H15-I15)/I15</f>
        <v>0.015625</v>
      </c>
    </row>
    <row r="16" customFormat="false" ht="15" hidden="false" customHeight="false" outlineLevel="0" collapsed="false">
      <c r="A16" s="2" t="s">
        <v>28</v>
      </c>
      <c r="B16" s="2" t="s">
        <v>29</v>
      </c>
      <c r="C16" s="2" t="s">
        <v>31</v>
      </c>
      <c r="D16" s="2" t="n">
        <v>120000</v>
      </c>
      <c r="E16" s="2" t="n">
        <v>30000</v>
      </c>
      <c r="F16" s="2" t="n">
        <v>120000</v>
      </c>
      <c r="G16" s="2" t="n">
        <v>30000</v>
      </c>
      <c r="H16" s="2" t="n">
        <f aca="false">SUM(D16:G16)</f>
        <v>300000</v>
      </c>
      <c r="I16" s="2" t="n">
        <v>268000</v>
      </c>
      <c r="J16" s="3" t="n">
        <f aca="false">(H16-I16)/I16</f>
        <v>0.119402985074627</v>
      </c>
    </row>
    <row r="17" customFormat="false" ht="15" hidden="false" customHeight="false" outlineLevel="0" collapsed="false">
      <c r="A17" s="6" t="s">
        <v>32</v>
      </c>
      <c r="B17" s="6"/>
      <c r="C17" s="6"/>
      <c r="D17" s="6" t="n">
        <f aca="false">SUM(D2:D16)</f>
        <v>1062000</v>
      </c>
      <c r="E17" s="6" t="n">
        <f aca="false">SUM(E2:E16)</f>
        <v>1000000</v>
      </c>
      <c r="F17" s="6" t="n">
        <f aca="false">SUM(F2:F16)</f>
        <v>1132000</v>
      </c>
      <c r="G17" s="6" t="n">
        <f aca="false">SUM(G2:G16)</f>
        <v>1040000</v>
      </c>
      <c r="H17" s="6" t="n">
        <f aca="false">SUM(H2:H16)</f>
        <v>4234000</v>
      </c>
      <c r="I17" s="6" t="n">
        <f aca="false">SUM(I2:I16)</f>
        <v>3680000</v>
      </c>
      <c r="J1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2026-03-05T09:54:22Z</dcterms:created>
  <dc:creator>openpyxl</dc:creator>
  <dc:description/>
  <dc:language>en-US</dc:language>
  <cp:lastModifiedBy/>
  <dcterms:modified xsi:type="dcterms:W3CDTF">2026-03-05T09:54:22Z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